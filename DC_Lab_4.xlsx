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0730" windowHeight="11760"/>
  </bookViews>
  <sheets>
    <sheet name="Лист1" sheetId="1" r:id="rId1"/>
    <sheet name="Лист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18" i="1"/>
  <c r="C17" i="1"/>
  <c r="C16" i="1"/>
  <c r="C15" i="1"/>
  <c r="C10" i="2"/>
  <c r="C9" i="2"/>
  <c r="C8" i="2"/>
  <c r="C7" i="2"/>
  <c r="C6" i="2"/>
  <c r="L5" i="2" l="1"/>
  <c r="L6" i="2"/>
  <c r="L7" i="2"/>
  <c r="L8" i="2"/>
  <c r="L9" i="2"/>
  <c r="L10" i="2"/>
  <c r="L4" i="2"/>
  <c r="J5" i="2"/>
  <c r="J6" i="2"/>
  <c r="J7" i="2"/>
  <c r="J8" i="2"/>
  <c r="J9" i="2"/>
  <c r="J10" i="2"/>
  <c r="J4" i="2"/>
  <c r="F5" i="2"/>
  <c r="F6" i="2"/>
  <c r="F7" i="2"/>
  <c r="F8" i="2"/>
  <c r="F9" i="2"/>
  <c r="F10" i="2"/>
  <c r="F4" i="2"/>
  <c r="H5" i="2"/>
  <c r="H6" i="2"/>
  <c r="H7" i="2"/>
  <c r="H8" i="2"/>
  <c r="H9" i="2"/>
  <c r="H10" i="2"/>
  <c r="H4" i="2"/>
  <c r="F17" i="1"/>
  <c r="G17" i="1" s="1"/>
  <c r="D18" i="1" s="1"/>
  <c r="F19" i="1"/>
  <c r="F18" i="1"/>
  <c r="F14" i="1"/>
  <c r="F15" i="1"/>
  <c r="F16" i="1"/>
  <c r="F13" i="1"/>
  <c r="D19" i="1" l="1"/>
  <c r="D15" i="1"/>
  <c r="D16" i="1"/>
  <c r="D13" i="1"/>
  <c r="D17" i="1"/>
  <c r="D14" i="1"/>
  <c r="B16" i="1"/>
  <c r="B17" i="1"/>
  <c r="B18" i="1"/>
  <c r="B19" i="1"/>
  <c r="A14" i="1"/>
  <c r="A15" i="1" s="1"/>
  <c r="B15" i="1" l="1"/>
  <c r="A16" i="1"/>
  <c r="A17" i="1" l="1"/>
  <c r="A5" i="2"/>
  <c r="A6" i="2" s="1"/>
  <c r="A7" i="2" l="1"/>
  <c r="B6" i="2"/>
  <c r="A18" i="1"/>
  <c r="A8" i="2" l="1"/>
  <c r="B7" i="2"/>
  <c r="A19" i="1"/>
  <c r="A9" i="2" l="1"/>
  <c r="B8" i="2"/>
  <c r="A10" i="2" l="1"/>
  <c r="B10" i="2" s="1"/>
  <c r="B9" i="2"/>
</calcChain>
</file>

<file path=xl/sharedStrings.xml><?xml version="1.0" encoding="utf-8"?>
<sst xmlns="http://schemas.openxmlformats.org/spreadsheetml/2006/main" count="25" uniqueCount="19">
  <si>
    <t>Execution Time (sec)</t>
  </si>
  <si>
    <t>pivot case</t>
  </si>
  <si>
    <t>N</t>
  </si>
  <si>
    <t>τ</t>
  </si>
  <si>
    <t>Parallel algorithm</t>
  </si>
  <si>
    <t>4 processors</t>
  </si>
  <si>
    <t>Time</t>
  </si>
  <si>
    <t>Speed up</t>
  </si>
  <si>
    <t>Test number</t>
  </si>
  <si>
    <t>1 processor</t>
  </si>
  <si>
    <t>2 processors</t>
  </si>
  <si>
    <t>8 processors</t>
  </si>
  <si>
    <t>The Execution Time of the "Compare-Exchange" Operation τ (sec):</t>
  </si>
  <si>
    <t xml:space="preserve">Test Number </t>
  </si>
  <si>
    <t>Theoretical Time (sec)</t>
  </si>
  <si>
    <t>The Size of Data to        Be Sorted</t>
  </si>
  <si>
    <t>Data amount</t>
  </si>
  <si>
    <t>Serial Bubble Sorting</t>
  </si>
  <si>
    <t>Serial standart 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</si>
</sst>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zoomScale="85" zoomScaleNormal="85" workbookViewId="0">
      <selection activeCell="F6" sqref="F6"/>
    </sheetView>
  </sheetViews>
  <sheetFormatPr defaultRowHeight="15" x14ac:dyDescent="0.25"/>
  <cols>
    <col min="1" max="1" width="12.140625" customWidth="1"/>
    <col min="2" max="2" width="21.5703125" customWidth="1"/>
    <col min="3" max="3" width="23" customWidth="1"/>
    <col min="4" max="4" width="30.7109375" customWidth="1"/>
    <col min="6" max="6" width="10.28515625" bestFit="1" customWidth="1"/>
    <col min="9" max="9" width="8.85546875" customWidth="1"/>
  </cols>
  <sheetData>
    <row r="1" spans="1:7" ht="43.9" customHeight="1" x14ac:dyDescent="0.25">
      <c r="A1" s="14"/>
      <c r="B1" s="27"/>
      <c r="C1" s="27"/>
      <c r="D1" s="28"/>
    </row>
    <row r="2" spans="1:7" ht="14.45" x14ac:dyDescent="0.3">
      <c r="A2" s="2"/>
      <c r="B2" s="4"/>
      <c r="C2" s="3"/>
      <c r="D2" s="5"/>
    </row>
    <row r="3" spans="1:7" ht="14.45" x14ac:dyDescent="0.3">
      <c r="A3" s="2"/>
      <c r="B3" s="4"/>
      <c r="C3" s="3"/>
      <c r="D3" s="5"/>
    </row>
    <row r="4" spans="1:7" ht="14.45" x14ac:dyDescent="0.3">
      <c r="A4" s="2"/>
      <c r="B4" s="4"/>
      <c r="C4" s="3"/>
      <c r="D4" s="5"/>
    </row>
    <row r="5" spans="1:7" ht="14.45" x14ac:dyDescent="0.3">
      <c r="A5" s="2"/>
      <c r="B5" s="4"/>
      <c r="C5" s="3"/>
      <c r="D5" s="5"/>
    </row>
    <row r="6" spans="1:7" ht="14.45" x14ac:dyDescent="0.3">
      <c r="A6" s="2"/>
      <c r="B6" s="4"/>
      <c r="C6" s="3"/>
      <c r="D6" s="5"/>
    </row>
    <row r="7" spans="1:7" ht="14.45" x14ac:dyDescent="0.3">
      <c r="A7" s="2"/>
      <c r="B7" s="4"/>
      <c r="C7" s="3"/>
      <c r="D7" s="5"/>
    </row>
    <row r="8" spans="1:7" ht="14.45" x14ac:dyDescent="0.3">
      <c r="A8" s="2"/>
      <c r="B8" s="4"/>
      <c r="C8" s="3"/>
      <c r="D8" s="5"/>
    </row>
    <row r="10" spans="1:7" thickBot="1" x14ac:dyDescent="0.35"/>
    <row r="11" spans="1:7" ht="15.75" thickBot="1" x14ac:dyDescent="0.3">
      <c r="A11" s="40" t="s">
        <v>12</v>
      </c>
      <c r="B11" s="41"/>
      <c r="C11" s="41"/>
      <c r="D11" s="42"/>
    </row>
    <row r="12" spans="1:7" ht="32.450000000000003" customHeight="1" x14ac:dyDescent="0.3">
      <c r="A12" s="14" t="s">
        <v>13</v>
      </c>
      <c r="B12" s="27" t="s">
        <v>15</v>
      </c>
      <c r="C12" s="15" t="s">
        <v>0</v>
      </c>
      <c r="D12" s="28" t="s">
        <v>14</v>
      </c>
      <c r="F12" s="23" t="s">
        <v>2</v>
      </c>
    </row>
    <row r="13" spans="1:7" x14ac:dyDescent="0.25">
      <c r="A13" s="30">
        <v>1</v>
      </c>
      <c r="B13" s="29">
        <v>10</v>
      </c>
      <c r="C13" s="39">
        <v>1.9999999999999999E-6</v>
      </c>
      <c r="D13" s="31">
        <f>F13*G17</f>
        <v>4.9731882729424309E-8</v>
      </c>
      <c r="E13" s="1"/>
      <c r="F13" s="25">
        <f>B13*(B13-1)/2</f>
        <v>45</v>
      </c>
      <c r="G13" s="1"/>
    </row>
    <row r="14" spans="1:7" x14ac:dyDescent="0.25">
      <c r="A14" s="30">
        <f>A13+1</f>
        <v>2</v>
      </c>
      <c r="B14" s="29">
        <v>100</v>
      </c>
      <c r="C14" s="39">
        <v>2.8E-5</v>
      </c>
      <c r="D14" s="31">
        <f>F14*G17</f>
        <v>5.470507100236674E-6</v>
      </c>
      <c r="E14" s="1"/>
      <c r="F14" s="25">
        <f t="shared" ref="F14:F16" si="0">B14*(B14-1)/2</f>
        <v>4950</v>
      </c>
      <c r="G14" s="1"/>
    </row>
    <row r="15" spans="1:7" x14ac:dyDescent="0.25">
      <c r="A15" s="30">
        <f t="shared" ref="A15:A19" si="1">A14+1</f>
        <v>3</v>
      </c>
      <c r="B15" s="29">
        <f>(A15-2)*10000</f>
        <v>10000</v>
      </c>
      <c r="C15" s="39">
        <f>0.852203/2/2</f>
        <v>0.21305075000000001</v>
      </c>
      <c r="D15" s="31">
        <f>F15*G17</f>
        <v>5.5252121712390405E-2</v>
      </c>
      <c r="E15" s="1"/>
      <c r="F15" s="25">
        <f t="shared" si="0"/>
        <v>49995000</v>
      </c>
      <c r="G15" s="1"/>
    </row>
    <row r="16" spans="1:7" ht="15.75" thickBot="1" x14ac:dyDescent="0.3">
      <c r="A16" s="30">
        <f t="shared" si="1"/>
        <v>4</v>
      </c>
      <c r="B16" s="29">
        <f t="shared" ref="B16:B19" si="2">(A16-2)*10000</f>
        <v>20000</v>
      </c>
      <c r="C16" s="39">
        <f>0.856732/2/2</f>
        <v>0.21418300000000001</v>
      </c>
      <c r="D16" s="31">
        <f>F16*G17</f>
        <v>0.22101953837905705</v>
      </c>
      <c r="E16" s="1"/>
      <c r="F16" s="25">
        <f t="shared" si="0"/>
        <v>199990000</v>
      </c>
      <c r="G16" s="21" t="s">
        <v>3</v>
      </c>
    </row>
    <row r="17" spans="1:7" ht="15.75" thickBot="1" x14ac:dyDescent="0.3">
      <c r="A17" s="30">
        <f t="shared" si="1"/>
        <v>5</v>
      </c>
      <c r="B17" s="29">
        <f t="shared" si="2"/>
        <v>30000</v>
      </c>
      <c r="C17" s="39">
        <f>1.989209/2/2</f>
        <v>0.49730225</v>
      </c>
      <c r="D17" s="31">
        <f>F17*G17</f>
        <v>0.49730224999999995</v>
      </c>
      <c r="E17" s="7" t="s">
        <v>1</v>
      </c>
      <c r="F17" s="24">
        <f>B17*(B17-1)/2</f>
        <v>449985000</v>
      </c>
      <c r="G17" s="22">
        <f>C17/F17</f>
        <v>1.1051529495427624E-9</v>
      </c>
    </row>
    <row r="18" spans="1:7" x14ac:dyDescent="0.25">
      <c r="A18" s="30">
        <f t="shared" si="1"/>
        <v>6</v>
      </c>
      <c r="B18" s="29">
        <f t="shared" si="2"/>
        <v>40000</v>
      </c>
      <c r="C18" s="39">
        <f>3.468138/2/2</f>
        <v>0.86703450000000004</v>
      </c>
      <c r="D18" s="31">
        <f>F18*G17</f>
        <v>0.88410025657521907</v>
      </c>
      <c r="E18" s="1"/>
      <c r="F18" s="26">
        <f>B18*(B18-1)/2</f>
        <v>799980000</v>
      </c>
      <c r="G18" s="1"/>
    </row>
    <row r="19" spans="1:7" ht="15.75" thickBot="1" x14ac:dyDescent="0.3">
      <c r="A19" s="32">
        <f t="shared" si="1"/>
        <v>7</v>
      </c>
      <c r="B19" s="33">
        <f t="shared" si="2"/>
        <v>50000</v>
      </c>
      <c r="C19" s="9">
        <f>5.45919/2/2</f>
        <v>1.3647975000000001</v>
      </c>
      <c r="D19" s="35">
        <f>F19*G17</f>
        <v>1.3814135581047144</v>
      </c>
      <c r="F19" s="36">
        <f>B19*(B19-1)/2</f>
        <v>1249975000</v>
      </c>
    </row>
    <row r="21" spans="1:7" x14ac:dyDescent="0.25">
      <c r="E21" s="1"/>
      <c r="G21" s="1"/>
    </row>
  </sheetData>
  <mergeCells count="1">
    <mergeCell ref="A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zoomScale="85" zoomScaleNormal="85" workbookViewId="0">
      <selection activeCell="C10" sqref="C4:C10"/>
    </sheetView>
  </sheetViews>
  <sheetFormatPr defaultRowHeight="15" x14ac:dyDescent="0.25"/>
  <cols>
    <col min="1" max="1" width="12.85546875" customWidth="1"/>
    <col min="2" max="2" width="14.28515625" customWidth="1"/>
    <col min="3" max="3" width="22" customWidth="1"/>
    <col min="4" max="4" width="25.28515625" customWidth="1"/>
  </cols>
  <sheetData>
    <row r="1" spans="1:12" x14ac:dyDescent="0.25">
      <c r="A1" s="48" t="s">
        <v>8</v>
      </c>
      <c r="B1" s="50" t="s">
        <v>16</v>
      </c>
      <c r="C1" s="54" t="s">
        <v>17</v>
      </c>
      <c r="D1" s="50" t="s">
        <v>18</v>
      </c>
      <c r="E1" s="45" t="s">
        <v>4</v>
      </c>
      <c r="F1" s="46"/>
      <c r="G1" s="46"/>
      <c r="H1" s="46"/>
      <c r="I1" s="46"/>
      <c r="J1" s="46"/>
      <c r="K1" s="46"/>
      <c r="L1" s="47"/>
    </row>
    <row r="2" spans="1:12" x14ac:dyDescent="0.25">
      <c r="A2" s="49"/>
      <c r="B2" s="51"/>
      <c r="C2" s="55"/>
      <c r="D2" s="51"/>
      <c r="E2" s="52" t="s">
        <v>9</v>
      </c>
      <c r="F2" s="52"/>
      <c r="G2" s="53" t="s">
        <v>10</v>
      </c>
      <c r="H2" s="53"/>
      <c r="I2" s="52" t="s">
        <v>5</v>
      </c>
      <c r="J2" s="52"/>
      <c r="K2" s="43" t="s">
        <v>11</v>
      </c>
      <c r="L2" s="44"/>
    </row>
    <row r="3" spans="1:12" x14ac:dyDescent="0.25">
      <c r="A3" s="49"/>
      <c r="B3" s="51"/>
      <c r="C3" s="56"/>
      <c r="D3" s="51"/>
      <c r="E3" s="15" t="s">
        <v>6</v>
      </c>
      <c r="F3" s="6" t="s">
        <v>7</v>
      </c>
      <c r="G3" s="15" t="s">
        <v>6</v>
      </c>
      <c r="H3" s="6" t="s">
        <v>7</v>
      </c>
      <c r="I3" s="15" t="s">
        <v>6</v>
      </c>
      <c r="J3" s="6" t="s">
        <v>7</v>
      </c>
      <c r="K3" s="18" t="s">
        <v>6</v>
      </c>
      <c r="L3" s="8" t="s">
        <v>7</v>
      </c>
    </row>
    <row r="4" spans="1:12" ht="14.45" x14ac:dyDescent="0.3">
      <c r="A4" s="37">
        <v>1</v>
      </c>
      <c r="B4" s="6">
        <v>10</v>
      </c>
      <c r="C4" s="17">
        <v>1.9999999999999999E-6</v>
      </c>
      <c r="D4" s="3">
        <v>3.0000000000000001E-6</v>
      </c>
      <c r="E4" s="17">
        <v>1.8E-5</v>
      </c>
      <c r="F4" s="16">
        <f>C4/E4</f>
        <v>0.1111111111111111</v>
      </c>
      <c r="G4" s="17">
        <v>3.97E-4</v>
      </c>
      <c r="H4" s="16">
        <f>C4/G4</f>
        <v>5.0377833753148613E-3</v>
      </c>
      <c r="I4" s="17">
        <v>5.1999999999999995E-4</v>
      </c>
      <c r="J4" s="16">
        <f>C4/I4</f>
        <v>3.8461538461538464E-3</v>
      </c>
      <c r="K4" s="19">
        <v>4.6775999999999998E-2</v>
      </c>
      <c r="L4" s="13">
        <f>C4/K4</f>
        <v>4.2756969386009922E-5</v>
      </c>
    </row>
    <row r="5" spans="1:12" ht="14.45" x14ac:dyDescent="0.3">
      <c r="A5" s="37">
        <f>A4+1</f>
        <v>2</v>
      </c>
      <c r="B5" s="6">
        <v>100</v>
      </c>
      <c r="C5" s="17">
        <v>2.8E-5</v>
      </c>
      <c r="D5" s="3">
        <v>6.9999999999999999E-6</v>
      </c>
      <c r="E5" s="17">
        <v>1.2E-5</v>
      </c>
      <c r="F5" s="16">
        <f t="shared" ref="F5:F10" si="0">C5/E5</f>
        <v>2.333333333333333</v>
      </c>
      <c r="G5" s="17">
        <v>6.8800000000000003E-4</v>
      </c>
      <c r="H5" s="16">
        <f t="shared" ref="H5:H10" si="1">C5/G5</f>
        <v>4.0697674418604647E-2</v>
      </c>
      <c r="I5" s="17">
        <v>1.2999999999999999E-4</v>
      </c>
      <c r="J5" s="16">
        <f t="shared" ref="J5:J10" si="2">C5/I5</f>
        <v>0.2153846153846154</v>
      </c>
      <c r="K5" s="19">
        <v>1.4630000000000001E-3</v>
      </c>
      <c r="L5" s="13">
        <f t="shared" ref="L5:L10" si="3">C5/K5</f>
        <v>1.9138755980861243E-2</v>
      </c>
    </row>
    <row r="6" spans="1:12" ht="14.45" x14ac:dyDescent="0.3">
      <c r="A6" s="37">
        <f t="shared" ref="A6:A10" si="4">A5+1</f>
        <v>3</v>
      </c>
      <c r="B6" s="6">
        <f>(A6-2)*10000</f>
        <v>10000</v>
      </c>
      <c r="C6" s="17">
        <f>0.852203/2/2</f>
        <v>0.21305075000000001</v>
      </c>
      <c r="D6" s="3">
        <v>1E-3</v>
      </c>
      <c r="E6" s="17">
        <v>6.4499999999999996E-4</v>
      </c>
      <c r="F6" s="16">
        <f t="shared" si="0"/>
        <v>330.31124031007755</v>
      </c>
      <c r="G6" s="17">
        <v>1.096E-3</v>
      </c>
      <c r="H6" s="16">
        <f t="shared" si="1"/>
        <v>194.38937043795622</v>
      </c>
      <c r="I6" s="17">
        <v>5.4500000000000002E-4</v>
      </c>
      <c r="J6" s="16">
        <f t="shared" si="2"/>
        <v>390.91880733944953</v>
      </c>
      <c r="K6" s="19">
        <v>6.8120000000000003E-3</v>
      </c>
      <c r="L6" s="13">
        <f t="shared" si="3"/>
        <v>31.275800058719906</v>
      </c>
    </row>
    <row r="7" spans="1:12" ht="14.45" x14ac:dyDescent="0.3">
      <c r="A7" s="37">
        <f t="shared" si="4"/>
        <v>4</v>
      </c>
      <c r="B7" s="6">
        <f t="shared" ref="B7:B10" si="5">(A7-2)*10000</f>
        <v>20000</v>
      </c>
      <c r="C7" s="17">
        <f>0.856732/2/2</f>
        <v>0.21418300000000001</v>
      </c>
      <c r="D7" s="3">
        <v>9.8900000000000008E-4</v>
      </c>
      <c r="E7" s="17">
        <v>1.023E-3</v>
      </c>
      <c r="F7" s="16">
        <f t="shared" si="0"/>
        <v>209.36754643206257</v>
      </c>
      <c r="G7" s="17">
        <v>2.5240000000000002E-3</v>
      </c>
      <c r="H7" s="16">
        <f t="shared" si="1"/>
        <v>84.858557844690964</v>
      </c>
      <c r="I7" s="17">
        <v>1.722E-3</v>
      </c>
      <c r="J7" s="16">
        <f t="shared" si="2"/>
        <v>124.38037166085947</v>
      </c>
      <c r="K7" s="19">
        <v>3.7569999999999999E-3</v>
      </c>
      <c r="L7" s="13">
        <f t="shared" si="3"/>
        <v>57.009049773755663</v>
      </c>
    </row>
    <row r="8" spans="1:12" ht="14.45" x14ac:dyDescent="0.3">
      <c r="A8" s="37">
        <f t="shared" si="4"/>
        <v>5</v>
      </c>
      <c r="B8" s="6">
        <f t="shared" si="5"/>
        <v>30000</v>
      </c>
      <c r="C8" s="17">
        <f>1.989209/2/2</f>
        <v>0.49730225</v>
      </c>
      <c r="D8" s="3">
        <v>1.449E-3</v>
      </c>
      <c r="E8" s="17">
        <v>1.5510000000000001E-3</v>
      </c>
      <c r="F8" s="16">
        <f t="shared" si="0"/>
        <v>320.63330109606704</v>
      </c>
      <c r="G8" s="17">
        <v>2.9190000000000002E-3</v>
      </c>
      <c r="H8" s="16">
        <f t="shared" si="1"/>
        <v>170.36733470366562</v>
      </c>
      <c r="I8" s="17">
        <v>1.6620000000000001E-3</v>
      </c>
      <c r="J8" s="16">
        <f t="shared" si="2"/>
        <v>299.21916365824308</v>
      </c>
      <c r="K8" s="19">
        <v>1.1058999999999999E-2</v>
      </c>
      <c r="L8" s="13">
        <f t="shared" si="3"/>
        <v>44.968102902613261</v>
      </c>
    </row>
    <row r="9" spans="1:12" ht="14.45" x14ac:dyDescent="0.3">
      <c r="A9" s="37">
        <f t="shared" si="4"/>
        <v>6</v>
      </c>
      <c r="B9" s="6">
        <f t="shared" si="5"/>
        <v>40000</v>
      </c>
      <c r="C9" s="17">
        <f>3.468138/2/2</f>
        <v>0.86703450000000004</v>
      </c>
      <c r="D9" s="3">
        <v>1.9980000000000002E-3</v>
      </c>
      <c r="E9" s="17">
        <v>3.2829999999999999E-3</v>
      </c>
      <c r="F9" s="16">
        <f t="shared" si="0"/>
        <v>264.09823332318001</v>
      </c>
      <c r="G9" s="17">
        <v>1.4519999999999999E-3</v>
      </c>
      <c r="H9" s="16">
        <f t="shared" si="1"/>
        <v>597.13119834710744</v>
      </c>
      <c r="I9" s="17">
        <v>4.5649999999999996E-3</v>
      </c>
      <c r="J9" s="16">
        <f t="shared" si="2"/>
        <v>189.93088718510407</v>
      </c>
      <c r="K9" s="19">
        <v>5.921E-3</v>
      </c>
      <c r="L9" s="13">
        <f t="shared" si="3"/>
        <v>146.43379496706638</v>
      </c>
    </row>
    <row r="10" spans="1:12" thickBot="1" x14ac:dyDescent="0.35">
      <c r="A10" s="38">
        <f t="shared" si="4"/>
        <v>7</v>
      </c>
      <c r="B10" s="34">
        <f t="shared" si="5"/>
        <v>50000</v>
      </c>
      <c r="C10" s="9">
        <f>5.45919/2/2</f>
        <v>1.3647975000000001</v>
      </c>
      <c r="D10" s="10">
        <v>2.5309999999999998E-3</v>
      </c>
      <c r="E10" s="9">
        <v>2.9239999999999999E-3</v>
      </c>
      <c r="F10" s="11">
        <f t="shared" si="0"/>
        <v>466.75701094391252</v>
      </c>
      <c r="G10" s="9">
        <v>4.62E-3</v>
      </c>
      <c r="H10" s="11">
        <f t="shared" si="1"/>
        <v>295.41071428571433</v>
      </c>
      <c r="I10" s="9">
        <v>5.071E-3</v>
      </c>
      <c r="J10" s="11">
        <f t="shared" si="2"/>
        <v>269.13774403470717</v>
      </c>
      <c r="K10" s="20">
        <v>1.8474999999999998E-2</v>
      </c>
      <c r="L10" s="12">
        <f t="shared" si="3"/>
        <v>73.872665764546696</v>
      </c>
    </row>
  </sheetData>
  <mergeCells count="9">
    <mergeCell ref="K2:L2"/>
    <mergeCell ref="E1:L1"/>
    <mergeCell ref="A1:A3"/>
    <mergeCell ref="B1:B3"/>
    <mergeCell ref="D1:D3"/>
    <mergeCell ref="E2:F2"/>
    <mergeCell ref="G2:H2"/>
    <mergeCell ref="I2:J2"/>
    <mergeCell ref="C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2025-11-02T17:50:12Z</dcterms:modified>
</cp:coreProperties>
</file>