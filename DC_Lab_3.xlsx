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0730" windowHeight="11760" activeTab="1"/>
  </bookViews>
  <sheets>
    <sheet name="Лист1" sheetId="1" r:id="rId1"/>
    <sheet name="Лист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4" i="2"/>
  <c r="F8" i="1"/>
  <c r="F9" i="1"/>
  <c r="F10" i="1"/>
  <c r="F7" i="1"/>
  <c r="F3" i="1"/>
  <c r="F4" i="1"/>
  <c r="F5" i="1"/>
  <c r="F6" i="1"/>
  <c r="B8" i="2" l="1"/>
  <c r="B9" i="2" s="1"/>
  <c r="B10" i="2" s="1"/>
  <c r="B11" i="2" s="1"/>
  <c r="B7" i="2"/>
  <c r="A6" i="2"/>
  <c r="A7" i="2" s="1"/>
  <c r="A8" i="2" s="1"/>
  <c r="A9" i="2" s="1"/>
  <c r="A10" i="2" s="1"/>
  <c r="A11" i="2" s="1"/>
  <c r="A5" i="2"/>
  <c r="G6" i="1" l="1"/>
  <c r="D10" i="1" s="1"/>
  <c r="B7" i="1"/>
  <c r="B8" i="1"/>
  <c r="B9" i="1"/>
  <c r="B10" i="1"/>
  <c r="B6" i="1"/>
  <c r="B5" i="1"/>
  <c r="D6" i="1" l="1"/>
  <c r="D5" i="1"/>
  <c r="D8" i="1"/>
  <c r="D4" i="1"/>
  <c r="D7" i="1"/>
  <c r="D9" i="1"/>
  <c r="D3" i="1"/>
  <c r="I5" i="2"/>
  <c r="I6" i="2"/>
  <c r="I7" i="2"/>
  <c r="I8" i="2"/>
  <c r="I9" i="2"/>
  <c r="I10" i="2"/>
  <c r="I11" i="2"/>
  <c r="I4" i="2"/>
  <c r="G5" i="2"/>
  <c r="G6" i="2"/>
  <c r="G7" i="2"/>
  <c r="G8" i="2"/>
  <c r="G9" i="2"/>
  <c r="G10" i="2"/>
  <c r="G11" i="2"/>
  <c r="G4" i="2"/>
  <c r="E5" i="2"/>
  <c r="E6" i="2"/>
  <c r="E7" i="2"/>
  <c r="E8" i="2"/>
  <c r="E9" i="2"/>
  <c r="E10" i="2"/>
  <c r="E11" i="2"/>
  <c r="E4" i="2"/>
  <c r="A4" i="1"/>
  <c r="A5" i="1" s="1"/>
  <c r="A6" i="1" l="1"/>
  <c r="A7" i="1" l="1"/>
  <c r="A8" i="1" l="1"/>
  <c r="A9" i="1" l="1"/>
  <c r="A10" i="1" l="1"/>
</calcChain>
</file>

<file path=xl/sharedStrings.xml><?xml version="1.0" encoding="utf-8"?>
<sst xmlns="http://schemas.openxmlformats.org/spreadsheetml/2006/main" count="24" uniqueCount="17">
  <si>
    <t>Test Number</t>
  </si>
  <si>
    <t>Matrix size</t>
  </si>
  <si>
    <t>Execution Time (sec)</t>
  </si>
  <si>
    <t>Theoretical time (sec)</t>
  </si>
  <si>
    <t>Basic Computational Operation Execution Time τ (sec):</t>
  </si>
  <si>
    <t>pivot case</t>
  </si>
  <si>
    <t>N</t>
  </si>
  <si>
    <t>τ</t>
  </si>
  <si>
    <t>Serial algorithm</t>
  </si>
  <si>
    <t>Parallel algorithm</t>
  </si>
  <si>
    <t>4 processors</t>
  </si>
  <si>
    <t>Time</t>
  </si>
  <si>
    <t>Speed up</t>
  </si>
  <si>
    <t>Test number</t>
  </si>
  <si>
    <t>1 processor</t>
  </si>
  <si>
    <t>2 processors</t>
  </si>
  <si>
    <t>8 processors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</si>
</sst>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="85" zoomScaleNormal="85" workbookViewId="0">
      <selection activeCell="C12" sqref="C12"/>
    </sheetView>
  </sheetViews>
  <sheetFormatPr defaultRowHeight="15" x14ac:dyDescent="0.25"/>
  <cols>
    <col min="1" max="1" width="12.140625" customWidth="1"/>
    <col min="2" max="2" width="10.7109375" customWidth="1"/>
    <col min="3" max="3" width="18" customWidth="1"/>
    <col min="4" max="4" width="19.28515625" customWidth="1"/>
    <col min="5" max="5" width="10" customWidth="1"/>
    <col min="6" max="6" width="13.5703125" customWidth="1"/>
    <col min="7" max="7" width="12" bestFit="1" customWidth="1"/>
  </cols>
  <sheetData>
    <row r="1" spans="1:7" ht="15.75" thickBot="1" x14ac:dyDescent="0.3">
      <c r="A1" s="31" t="s">
        <v>4</v>
      </c>
      <c r="B1" s="32"/>
      <c r="C1" s="32"/>
      <c r="D1" s="33"/>
    </row>
    <row r="2" spans="1:7" ht="14.45" x14ac:dyDescent="0.3">
      <c r="A2" s="2" t="s">
        <v>0</v>
      </c>
      <c r="B2" s="3" t="s">
        <v>1</v>
      </c>
      <c r="C2" s="3" t="s">
        <v>2</v>
      </c>
      <c r="D2" s="4" t="s">
        <v>3</v>
      </c>
      <c r="E2" s="1"/>
      <c r="F2" s="25" t="s">
        <v>6</v>
      </c>
      <c r="G2" s="1"/>
    </row>
    <row r="3" spans="1:7" ht="14.45" x14ac:dyDescent="0.3">
      <c r="A3" s="5">
        <v>1</v>
      </c>
      <c r="B3" s="7">
        <v>10</v>
      </c>
      <c r="C3" s="6">
        <v>7.9999999999999996E-6</v>
      </c>
      <c r="D3" s="8">
        <f>F3*G6</f>
        <v>1.1454321517723415E-6</v>
      </c>
      <c r="E3" s="1"/>
      <c r="F3" s="27">
        <f t="shared" ref="F3:F4" si="0">2*B3*B3*B3/3+B3*B3</f>
        <v>766.66666666666663</v>
      </c>
      <c r="G3" s="1"/>
    </row>
    <row r="4" spans="1:7" ht="14.45" x14ac:dyDescent="0.3">
      <c r="A4" s="5">
        <f>A3+1</f>
        <v>2</v>
      </c>
      <c r="B4" s="7">
        <v>100</v>
      </c>
      <c r="C4" s="6">
        <v>1.312E-3</v>
      </c>
      <c r="D4" s="8">
        <f>F4*G6</f>
        <v>1.0109683774338493E-3</v>
      </c>
      <c r="E4" s="1"/>
      <c r="F4" s="27">
        <f t="shared" si="0"/>
        <v>676666.66666666663</v>
      </c>
      <c r="G4" s="1"/>
    </row>
    <row r="5" spans="1:7" ht="15.75" thickBot="1" x14ac:dyDescent="0.3">
      <c r="A5" s="5">
        <f t="shared" ref="A5:A10" si="1">A4+1</f>
        <v>3</v>
      </c>
      <c r="B5" s="7">
        <f>(A5-2)*500</f>
        <v>500</v>
      </c>
      <c r="C5" s="6">
        <v>0.12371699999999999</v>
      </c>
      <c r="D5" s="8">
        <f>F5*G6</f>
        <v>0.1248770052421368</v>
      </c>
      <c r="E5" s="1"/>
      <c r="F5" s="29">
        <f>2*B5*B5*B5/3+B5*B5</f>
        <v>83583333.333333328</v>
      </c>
      <c r="G5" s="23" t="s">
        <v>7</v>
      </c>
    </row>
    <row r="6" spans="1:7" thickBot="1" x14ac:dyDescent="0.35">
      <c r="A6" s="5">
        <f t="shared" si="1"/>
        <v>4</v>
      </c>
      <c r="B6" s="7">
        <f>B5+500</f>
        <v>1000</v>
      </c>
      <c r="C6" s="6">
        <v>0.99752200000000002</v>
      </c>
      <c r="D6" s="8">
        <f>F6*G6</f>
        <v>0.99752200000000002</v>
      </c>
      <c r="E6" s="10" t="s">
        <v>5</v>
      </c>
      <c r="F6" s="26">
        <f>2*B6*B6*B6/3+B6*B6</f>
        <v>667666666.66666663</v>
      </c>
      <c r="G6" s="24">
        <f>C6/F6</f>
        <v>1.4940419370943586E-9</v>
      </c>
    </row>
    <row r="7" spans="1:7" ht="14.45" x14ac:dyDescent="0.3">
      <c r="A7" s="5">
        <f t="shared" si="1"/>
        <v>5</v>
      </c>
      <c r="B7" s="7">
        <f t="shared" ref="B7:B10" si="2">B6+500</f>
        <v>1500</v>
      </c>
      <c r="C7" s="6">
        <v>3.3677510000000002</v>
      </c>
      <c r="D7" s="8">
        <f>F7*G6</f>
        <v>3.3649559528207691</v>
      </c>
      <c r="E7" s="1"/>
      <c r="F7" s="30">
        <f>2*B7*B7*B7/3+B7*B7</f>
        <v>2252250000</v>
      </c>
      <c r="G7" s="1"/>
    </row>
    <row r="8" spans="1:7" ht="14.45" x14ac:dyDescent="0.3">
      <c r="A8" s="5">
        <f t="shared" si="1"/>
        <v>6</v>
      </c>
      <c r="B8" s="7">
        <f t="shared" si="2"/>
        <v>2000</v>
      </c>
      <c r="C8" s="6">
        <v>8.0738280000000007</v>
      </c>
      <c r="D8" s="8">
        <f>F8*G6</f>
        <v>7.9741998322516228</v>
      </c>
      <c r="F8" s="27">
        <f t="shared" ref="F8:F10" si="3">2*B8*B8*B8/3+B8*B8</f>
        <v>5337333333.333333</v>
      </c>
    </row>
    <row r="9" spans="1:7" ht="14.45" x14ac:dyDescent="0.3">
      <c r="A9" s="5">
        <f t="shared" si="1"/>
        <v>7</v>
      </c>
      <c r="B9" s="7">
        <f t="shared" si="2"/>
        <v>2500</v>
      </c>
      <c r="C9" s="6">
        <v>16.440548</v>
      </c>
      <c r="D9" s="8">
        <f>F9*G6</f>
        <v>15.572274606839741</v>
      </c>
      <c r="F9" s="27">
        <f t="shared" si="3"/>
        <v>10422916666.666666</v>
      </c>
    </row>
    <row r="10" spans="1:7" thickBot="1" x14ac:dyDescent="0.35">
      <c r="A10" s="5">
        <f t="shared" si="1"/>
        <v>8</v>
      </c>
      <c r="B10" s="7">
        <f t="shared" si="2"/>
        <v>3000</v>
      </c>
      <c r="C10" s="6">
        <v>27.683254000000002</v>
      </c>
      <c r="D10" s="8">
        <f>F10*G6</f>
        <v>26.906201245132305</v>
      </c>
      <c r="E10" s="1"/>
      <c r="F10" s="28">
        <f t="shared" si="3"/>
        <v>18009000000</v>
      </c>
      <c r="G10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topLeftCell="B1" zoomScale="85" zoomScaleNormal="85" workbookViewId="0">
      <selection activeCell="I18" sqref="I18"/>
    </sheetView>
  </sheetViews>
  <sheetFormatPr defaultRowHeight="15" x14ac:dyDescent="0.25"/>
  <cols>
    <col min="1" max="1" width="12.85546875" customWidth="1"/>
    <col min="2" max="2" width="14.28515625" customWidth="1"/>
    <col min="3" max="3" width="17.140625" customWidth="1"/>
  </cols>
  <sheetData>
    <row r="1" spans="1:11" x14ac:dyDescent="0.25">
      <c r="A1" s="39" t="s">
        <v>13</v>
      </c>
      <c r="B1" s="41" t="s">
        <v>1</v>
      </c>
      <c r="C1" s="41" t="s">
        <v>8</v>
      </c>
      <c r="D1" s="36" t="s">
        <v>9</v>
      </c>
      <c r="E1" s="37"/>
      <c r="F1" s="37"/>
      <c r="G1" s="37"/>
      <c r="H1" s="37"/>
      <c r="I1" s="37"/>
      <c r="J1" s="37"/>
      <c r="K1" s="38"/>
    </row>
    <row r="2" spans="1:11" x14ac:dyDescent="0.25">
      <c r="A2" s="40"/>
      <c r="B2" s="42"/>
      <c r="C2" s="42"/>
      <c r="D2" s="43" t="s">
        <v>14</v>
      </c>
      <c r="E2" s="43"/>
      <c r="F2" s="44" t="s">
        <v>15</v>
      </c>
      <c r="G2" s="44"/>
      <c r="H2" s="43" t="s">
        <v>10</v>
      </c>
      <c r="I2" s="43"/>
      <c r="J2" s="34" t="s">
        <v>16</v>
      </c>
      <c r="K2" s="35"/>
    </row>
    <row r="3" spans="1:11" x14ac:dyDescent="0.25">
      <c r="A3" s="40"/>
      <c r="B3" s="42"/>
      <c r="C3" s="42"/>
      <c r="D3" s="16" t="s">
        <v>11</v>
      </c>
      <c r="E3" s="9" t="s">
        <v>12</v>
      </c>
      <c r="F3" s="16" t="s">
        <v>11</v>
      </c>
      <c r="G3" s="9" t="s">
        <v>12</v>
      </c>
      <c r="H3" s="16" t="s">
        <v>11</v>
      </c>
      <c r="I3" s="9" t="s">
        <v>12</v>
      </c>
      <c r="J3" s="20" t="s">
        <v>11</v>
      </c>
      <c r="K3" s="11" t="s">
        <v>12</v>
      </c>
    </row>
    <row r="4" spans="1:11" x14ac:dyDescent="0.25">
      <c r="A4" s="5">
        <v>1</v>
      </c>
      <c r="B4" s="18">
        <v>10</v>
      </c>
      <c r="C4" s="6">
        <v>7.9999999999999996E-6</v>
      </c>
      <c r="D4" s="18">
        <v>7.9999999999999996E-6</v>
      </c>
      <c r="E4" s="17">
        <f>C4/D4</f>
        <v>1</v>
      </c>
      <c r="F4" s="18">
        <v>7.3999999999999996E-5</v>
      </c>
      <c r="G4" s="17">
        <f>C4/F4</f>
        <v>0.10810810810810811</v>
      </c>
      <c r="H4" s="18">
        <v>4.5599999999999998E-3</v>
      </c>
      <c r="I4" s="17">
        <f>C4/H4</f>
        <v>1.7543859649122807E-3</v>
      </c>
      <c r="J4" s="21">
        <v>4.2760000000000003E-3</v>
      </c>
      <c r="K4" s="19">
        <f>C4/J4</f>
        <v>1.8709073900841906E-3</v>
      </c>
    </row>
    <row r="5" spans="1:11" x14ac:dyDescent="0.25">
      <c r="A5" s="5">
        <f>A4+1</f>
        <v>2</v>
      </c>
      <c r="B5" s="18">
        <v>100</v>
      </c>
      <c r="C5" s="6">
        <v>1.312E-3</v>
      </c>
      <c r="D5" s="18">
        <v>1.5889999999999999E-3</v>
      </c>
      <c r="E5" s="17">
        <f t="shared" ref="E5:E11" si="0">C5/D5</f>
        <v>0.82567652611705478</v>
      </c>
      <c r="F5" s="18">
        <v>1.748E-3</v>
      </c>
      <c r="G5" s="17">
        <f t="shared" ref="G5:G11" si="1">C5/F5</f>
        <v>0.75057208237986273</v>
      </c>
      <c r="H5" s="18">
        <v>1.5089999999999999E-3</v>
      </c>
      <c r="I5" s="17">
        <f t="shared" ref="I5:I11" si="2">C5/H5</f>
        <v>0.86944996686547382</v>
      </c>
      <c r="J5" s="21">
        <v>1.5102000000000001E-2</v>
      </c>
      <c r="K5" s="19">
        <f t="shared" ref="K5:K11" si="3">C5/J5</f>
        <v>8.6875910475433707E-2</v>
      </c>
    </row>
    <row r="6" spans="1:11" x14ac:dyDescent="0.25">
      <c r="A6" s="5">
        <f t="shared" ref="A6:A11" si="4">A5+1</f>
        <v>3</v>
      </c>
      <c r="B6" s="18">
        <v>500</v>
      </c>
      <c r="C6" s="6">
        <v>0.12371699999999999</v>
      </c>
      <c r="D6" s="18">
        <v>0.12559600000000001</v>
      </c>
      <c r="E6" s="17">
        <f t="shared" si="0"/>
        <v>0.98503933246281716</v>
      </c>
      <c r="F6" s="18">
        <v>0.108817</v>
      </c>
      <c r="G6" s="17">
        <f t="shared" si="1"/>
        <v>1.1369271345469918</v>
      </c>
      <c r="H6" s="18">
        <v>0.11507199999999999</v>
      </c>
      <c r="I6" s="17">
        <f t="shared" si="2"/>
        <v>1.0751268770856508</v>
      </c>
      <c r="J6" s="21">
        <v>0.49509999999999998</v>
      </c>
      <c r="K6" s="19">
        <f t="shared" si="3"/>
        <v>0.24988285194910118</v>
      </c>
    </row>
    <row r="7" spans="1:11" x14ac:dyDescent="0.25">
      <c r="A7" s="5">
        <f t="shared" si="4"/>
        <v>4</v>
      </c>
      <c r="B7" s="18">
        <f>B6+500</f>
        <v>1000</v>
      </c>
      <c r="C7" s="6">
        <v>0.99752200000000002</v>
      </c>
      <c r="D7" s="18">
        <v>1.074281</v>
      </c>
      <c r="E7" s="17">
        <f t="shared" si="0"/>
        <v>0.92854848964097847</v>
      </c>
      <c r="F7" s="18">
        <v>0.88259500000000002</v>
      </c>
      <c r="G7" s="17">
        <f t="shared" si="1"/>
        <v>1.1302148777185459</v>
      </c>
      <c r="H7" s="18">
        <v>1.044268</v>
      </c>
      <c r="I7" s="17">
        <f t="shared" si="2"/>
        <v>0.95523562916799143</v>
      </c>
      <c r="J7" s="21">
        <v>3.065121</v>
      </c>
      <c r="K7" s="19">
        <f t="shared" si="3"/>
        <v>0.3254429433617792</v>
      </c>
    </row>
    <row r="8" spans="1:11" x14ac:dyDescent="0.25">
      <c r="A8" s="5">
        <f t="shared" si="4"/>
        <v>5</v>
      </c>
      <c r="B8" s="18">
        <f t="shared" ref="B8:B11" si="5">B7+500</f>
        <v>1500</v>
      </c>
      <c r="C8" s="6">
        <v>3.3677510000000002</v>
      </c>
      <c r="D8" s="18">
        <v>3.4458350000000002</v>
      </c>
      <c r="E8" s="17">
        <f t="shared" si="0"/>
        <v>0.9773395998357437</v>
      </c>
      <c r="F8" s="18">
        <v>2.8210039999999998</v>
      </c>
      <c r="G8" s="17">
        <f t="shared" si="1"/>
        <v>1.1938129119987069</v>
      </c>
      <c r="H8" s="18">
        <v>4.1359050000000002</v>
      </c>
      <c r="I8" s="17">
        <f t="shared" si="2"/>
        <v>0.81427184618602222</v>
      </c>
      <c r="J8" s="21">
        <v>8.6355760000000004</v>
      </c>
      <c r="K8" s="19">
        <f t="shared" si="3"/>
        <v>0.38998568248371618</v>
      </c>
    </row>
    <row r="9" spans="1:11" x14ac:dyDescent="0.25">
      <c r="A9" s="5">
        <f t="shared" si="4"/>
        <v>6</v>
      </c>
      <c r="B9" s="18">
        <f t="shared" si="5"/>
        <v>2000</v>
      </c>
      <c r="C9" s="6">
        <v>8.0738280000000007</v>
      </c>
      <c r="D9" s="18">
        <v>8.3358489999999996</v>
      </c>
      <c r="E9" s="17">
        <f t="shared" si="0"/>
        <v>0.96856696900339734</v>
      </c>
      <c r="F9" s="18">
        <v>6.6739389999999998</v>
      </c>
      <c r="G9" s="17">
        <f t="shared" si="1"/>
        <v>1.2097545392608475</v>
      </c>
      <c r="H9" s="18">
        <v>9.8823410000000003</v>
      </c>
      <c r="I9" s="17">
        <f t="shared" si="2"/>
        <v>0.8169954872028804</v>
      </c>
      <c r="J9" s="21">
        <v>16.388712999999999</v>
      </c>
      <c r="K9" s="19">
        <f t="shared" si="3"/>
        <v>0.49264563971557751</v>
      </c>
    </row>
    <row r="10" spans="1:11" x14ac:dyDescent="0.25">
      <c r="A10" s="5">
        <f t="shared" si="4"/>
        <v>7</v>
      </c>
      <c r="B10" s="18">
        <f t="shared" si="5"/>
        <v>2500</v>
      </c>
      <c r="C10" s="6">
        <v>16.440548</v>
      </c>
      <c r="D10" s="18">
        <v>15.915584000000001</v>
      </c>
      <c r="E10" s="17">
        <f t="shared" si="0"/>
        <v>1.0329842750350851</v>
      </c>
      <c r="F10" s="18">
        <v>13.252777999999999</v>
      </c>
      <c r="G10" s="17">
        <f t="shared" si="1"/>
        <v>1.2405359842291179</v>
      </c>
      <c r="H10" s="18">
        <v>18.509549</v>
      </c>
      <c r="I10" s="17">
        <f t="shared" si="2"/>
        <v>0.88821980481534157</v>
      </c>
      <c r="J10" s="21">
        <v>31.771723999999999</v>
      </c>
      <c r="K10" s="19">
        <f t="shared" si="3"/>
        <v>0.51745847974758941</v>
      </c>
    </row>
    <row r="11" spans="1:11" ht="15.75" thickBot="1" x14ac:dyDescent="0.3">
      <c r="A11" s="13">
        <f t="shared" si="4"/>
        <v>8</v>
      </c>
      <c r="B11" s="12">
        <f t="shared" si="5"/>
        <v>3000</v>
      </c>
      <c r="C11" s="6">
        <v>27.683254000000002</v>
      </c>
      <c r="D11" s="12">
        <v>29.780951000000002</v>
      </c>
      <c r="E11" s="14">
        <f t="shared" si="0"/>
        <v>0.92956245755886036</v>
      </c>
      <c r="F11" s="12">
        <v>24.834544000000001</v>
      </c>
      <c r="G11" s="14">
        <f t="shared" si="1"/>
        <v>1.1147075621762976</v>
      </c>
      <c r="H11" s="12">
        <v>30.872077000000001</v>
      </c>
      <c r="I11" s="14">
        <f t="shared" si="2"/>
        <v>0.89670850458166451</v>
      </c>
      <c r="J11" s="22">
        <v>44.619565000000001</v>
      </c>
      <c r="K11" s="15">
        <f t="shared" si="3"/>
        <v>0.62042859449660703</v>
      </c>
    </row>
  </sheetData>
  <mergeCells count="8">
    <mergeCell ref="J2:K2"/>
    <mergeCell ref="D1:K1"/>
    <mergeCell ref="A1:A3"/>
    <mergeCell ref="B1:B3"/>
    <mergeCell ref="C1:C3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2025-10-25T09:17:26Z</dcterms:modified>
</cp:coreProperties>
</file>