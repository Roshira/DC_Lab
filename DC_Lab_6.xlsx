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20730" windowHeight="11760" activeTab="1"/>
  </bookViews>
  <sheets>
    <sheet name="Лист1" sheetId="1" r:id="rId1"/>
    <sheet name="Лист2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" i="2" l="1"/>
  <c r="K10" i="2"/>
  <c r="K11" i="2"/>
  <c r="K12" i="2"/>
  <c r="K13" i="2"/>
  <c r="K14" i="2"/>
  <c r="K15" i="2"/>
  <c r="I9" i="2"/>
  <c r="I10" i="2"/>
  <c r="I11" i="2"/>
  <c r="I12" i="2"/>
  <c r="I13" i="2"/>
  <c r="I14" i="2"/>
  <c r="I15" i="2"/>
  <c r="G9" i="2"/>
  <c r="G10" i="2"/>
  <c r="G11" i="2"/>
  <c r="G12" i="2"/>
  <c r="G13" i="2"/>
  <c r="G14" i="2"/>
  <c r="G15" i="2"/>
  <c r="E9" i="2"/>
  <c r="E10" i="2"/>
  <c r="E11" i="2"/>
  <c r="E12" i="2"/>
  <c r="E13" i="2"/>
  <c r="E14" i="2"/>
  <c r="E15" i="2"/>
  <c r="E8" i="2"/>
  <c r="G8" i="2"/>
  <c r="I8" i="2"/>
  <c r="K8" i="2"/>
  <c r="B8" i="2"/>
  <c r="B9" i="2" s="1"/>
  <c r="B10" i="2" s="1"/>
  <c r="B11" i="2" s="1"/>
  <c r="B12" i="2" s="1"/>
  <c r="B13" i="2" s="1"/>
  <c r="B14" i="2" s="1"/>
  <c r="B15" i="2" s="1"/>
  <c r="B7" i="2"/>
  <c r="A10" i="2"/>
  <c r="A11" i="2" s="1"/>
  <c r="A12" i="2" s="1"/>
  <c r="A13" i="2" s="1"/>
  <c r="A14" i="2" s="1"/>
  <c r="A15" i="2" s="1"/>
  <c r="D14" i="1"/>
  <c r="D13" i="1"/>
  <c r="D10" i="1"/>
  <c r="D9" i="1"/>
  <c r="D5" i="1"/>
  <c r="D4" i="1"/>
  <c r="G8" i="1"/>
  <c r="D8" i="1" s="1"/>
  <c r="F8" i="1"/>
  <c r="F3" i="1"/>
  <c r="F10" i="1"/>
  <c r="F11" i="1"/>
  <c r="F12" i="1"/>
  <c r="F13" i="1"/>
  <c r="F14" i="1"/>
  <c r="F9" i="1"/>
  <c r="F5" i="1"/>
  <c r="F6" i="1"/>
  <c r="F7" i="1"/>
  <c r="F4" i="1"/>
  <c r="B6" i="1"/>
  <c r="B7" i="1" s="1"/>
  <c r="B8" i="1" s="1"/>
  <c r="B9" i="1" s="1"/>
  <c r="B10" i="1" s="1"/>
  <c r="B11" i="1" s="1"/>
  <c r="B12" i="1" s="1"/>
  <c r="B13" i="1" s="1"/>
  <c r="B14" i="1" s="1"/>
  <c r="D11" i="1" l="1"/>
  <c r="D6" i="1"/>
  <c r="D3" i="1"/>
  <c r="D7" i="1"/>
  <c r="D12" i="1"/>
  <c r="K5" i="2"/>
  <c r="K6" i="2"/>
  <c r="K7" i="2"/>
  <c r="K4" i="2"/>
  <c r="I5" i="2"/>
  <c r="I6" i="2"/>
  <c r="I7" i="2"/>
  <c r="I4" i="2"/>
  <c r="E5" i="2"/>
  <c r="E6" i="2"/>
  <c r="E7" i="2"/>
  <c r="E4" i="2"/>
  <c r="G5" i="2"/>
  <c r="G6" i="2"/>
  <c r="G7" i="2"/>
  <c r="G4" i="2"/>
  <c r="A4" i="1" l="1"/>
  <c r="A5" i="1" s="1"/>
  <c r="A6" i="1" l="1"/>
  <c r="A7" i="1" s="1"/>
  <c r="A8" i="1" s="1"/>
  <c r="A9" i="1" s="1"/>
  <c r="A10" i="1" s="1"/>
  <c r="A11" i="1" s="1"/>
  <c r="A12" i="1" s="1"/>
  <c r="A13" i="1" s="1"/>
  <c r="A14" i="1" s="1"/>
  <c r="A5" i="2" l="1"/>
  <c r="A6" i="2" s="1"/>
  <c r="A7" i="2" l="1"/>
  <c r="A8" i="2" l="1"/>
  <c r="A9" i="2" l="1"/>
</calcChain>
</file>

<file path=xl/sharedStrings.xml><?xml version="1.0" encoding="utf-8"?>
<sst xmlns="http://schemas.openxmlformats.org/spreadsheetml/2006/main" count="26" uniqueCount="19">
  <si>
    <t>Execution Time (sec)</t>
  </si>
  <si>
    <t>pivot case</t>
  </si>
  <si>
    <t>N</t>
  </si>
  <si>
    <t>τ</t>
  </si>
  <si>
    <t>4 processors</t>
  </si>
  <si>
    <t>Time</t>
  </si>
  <si>
    <t>Speed up</t>
  </si>
  <si>
    <t>Test number</t>
  </si>
  <si>
    <t>1 processor</t>
  </si>
  <si>
    <t>2 processors</t>
  </si>
  <si>
    <t>8 processors</t>
  </si>
  <si>
    <t xml:space="preserve">Test Number </t>
  </si>
  <si>
    <t>Theoretical Time (sec)</t>
  </si>
  <si>
    <t>The Execution Time of the Basic Comparison Operation τ (sec):</t>
  </si>
  <si>
    <t>Serial Algorithm</t>
  </si>
  <si>
    <t>Parallel Algorithm</t>
  </si>
  <si>
    <t>Grid size</t>
  </si>
  <si>
    <t xml:space="preserve">Accuracy 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</si>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</sst>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0" fillId="5" borderId="5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5" borderId="8" xfId="0" applyFill="1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4" borderId="11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zoomScale="85" zoomScaleNormal="85" workbookViewId="0">
      <selection activeCell="C14" activeCellId="1" sqref="C3:C14 C14"/>
    </sheetView>
  </sheetViews>
  <sheetFormatPr defaultRowHeight="15" x14ac:dyDescent="0.25"/>
  <cols>
    <col min="1" max="1" width="12.140625" customWidth="1"/>
    <col min="2" max="2" width="21.5703125" customWidth="1"/>
    <col min="3" max="3" width="24.28515625" customWidth="1"/>
    <col min="4" max="4" width="30.7109375" customWidth="1"/>
    <col min="6" max="6" width="11.28515625" bestFit="1" customWidth="1"/>
    <col min="7" max="7" width="12.42578125" bestFit="1" customWidth="1"/>
    <col min="9" max="9" width="8.85546875" customWidth="1"/>
  </cols>
  <sheetData>
    <row r="1" spans="1:7" ht="14.45" customHeight="1" thickBot="1" x14ac:dyDescent="0.3">
      <c r="A1" s="39" t="s">
        <v>13</v>
      </c>
      <c r="B1" s="40"/>
      <c r="C1" s="40"/>
      <c r="D1" s="41"/>
    </row>
    <row r="2" spans="1:7" ht="14.45" x14ac:dyDescent="0.3">
      <c r="A2" s="29" t="s">
        <v>11</v>
      </c>
      <c r="B2" s="33" t="s">
        <v>16</v>
      </c>
      <c r="C2" s="27" t="s">
        <v>0</v>
      </c>
      <c r="D2" s="19" t="s">
        <v>12</v>
      </c>
      <c r="F2" s="35" t="s">
        <v>2</v>
      </c>
      <c r="G2" s="37" t="s">
        <v>18</v>
      </c>
    </row>
    <row r="3" spans="1:7" thickBot="1" x14ac:dyDescent="0.35">
      <c r="A3" s="21">
        <v>1</v>
      </c>
      <c r="B3" s="20">
        <v>10</v>
      </c>
      <c r="C3" s="3">
        <v>6.9999999999999999E-6</v>
      </c>
      <c r="D3" s="22">
        <f>F3*G8</f>
        <v>5.1159375000000005E-6</v>
      </c>
      <c r="F3" s="36">
        <f>36*B3*B3</f>
        <v>3600</v>
      </c>
      <c r="G3" s="38">
        <v>10</v>
      </c>
    </row>
    <row r="4" spans="1:7" ht="14.45" x14ac:dyDescent="0.3">
      <c r="A4" s="21">
        <f>A3+1</f>
        <v>2</v>
      </c>
      <c r="B4" s="20">
        <v>100</v>
      </c>
      <c r="C4" s="3">
        <v>5.8600000000000004E-4</v>
      </c>
      <c r="D4" s="22">
        <f>F4*G8</f>
        <v>4.26328125E-4</v>
      </c>
      <c r="E4" s="1"/>
      <c r="F4" s="17">
        <f>30*B4*B4</f>
        <v>300000</v>
      </c>
      <c r="G4" s="1"/>
    </row>
    <row r="5" spans="1:7" ht="14.45" x14ac:dyDescent="0.3">
      <c r="A5" s="21">
        <f t="shared" ref="A5:A14" si="0">A4+1</f>
        <v>3</v>
      </c>
      <c r="B5" s="20">
        <v>1000</v>
      </c>
      <c r="C5" s="3">
        <v>4.6107000000000002E-2</v>
      </c>
      <c r="D5" s="22">
        <f>F5*G8</f>
        <v>4.2632812499999999E-2</v>
      </c>
      <c r="E5" s="1"/>
      <c r="F5" s="17">
        <f t="shared" ref="F5:F7" si="1">30*B5*B5</f>
        <v>30000000</v>
      </c>
      <c r="G5" s="1"/>
    </row>
    <row r="6" spans="1:7" ht="14.45" x14ac:dyDescent="0.3">
      <c r="A6" s="21">
        <f t="shared" si="0"/>
        <v>4</v>
      </c>
      <c r="B6" s="20">
        <f>B5+1000</f>
        <v>2000</v>
      </c>
      <c r="C6" s="3">
        <v>0.170486</v>
      </c>
      <c r="D6" s="22">
        <f>F6*G8</f>
        <v>0.17053125</v>
      </c>
      <c r="E6" s="1"/>
      <c r="F6" s="17">
        <f t="shared" si="1"/>
        <v>120000000</v>
      </c>
      <c r="G6" s="1"/>
    </row>
    <row r="7" spans="1:7" ht="15.75" thickBot="1" x14ac:dyDescent="0.3">
      <c r="A7" s="21">
        <f t="shared" si="0"/>
        <v>5</v>
      </c>
      <c r="B7" s="20">
        <f t="shared" ref="B7:B14" si="2">B6+1000</f>
        <v>3000</v>
      </c>
      <c r="C7" s="3">
        <v>0.39456000000000002</v>
      </c>
      <c r="D7" s="22">
        <f>F7*G8</f>
        <v>0.3836953125</v>
      </c>
      <c r="E7" s="1"/>
      <c r="F7" s="17">
        <f t="shared" si="1"/>
        <v>270000000</v>
      </c>
      <c r="G7" s="14" t="s">
        <v>3</v>
      </c>
    </row>
    <row r="8" spans="1:7" thickBot="1" x14ac:dyDescent="0.35">
      <c r="A8" s="21">
        <f t="shared" si="0"/>
        <v>6</v>
      </c>
      <c r="B8" s="20">
        <f t="shared" si="2"/>
        <v>4000</v>
      </c>
      <c r="C8" s="3">
        <v>0.68212499999999998</v>
      </c>
      <c r="D8" s="22">
        <f>F8*G8</f>
        <v>0.68212499999999998</v>
      </c>
      <c r="E8" s="5" t="s">
        <v>1</v>
      </c>
      <c r="F8" s="16">
        <f>30*B8*B8</f>
        <v>480000000</v>
      </c>
      <c r="G8" s="15">
        <f>C8/F8</f>
        <v>1.4210937500000001E-9</v>
      </c>
    </row>
    <row r="9" spans="1:7" ht="14.45" x14ac:dyDescent="0.3">
      <c r="A9" s="21">
        <f t="shared" si="0"/>
        <v>7</v>
      </c>
      <c r="B9" s="20">
        <f t="shared" si="2"/>
        <v>5000</v>
      </c>
      <c r="C9" s="3">
        <v>1.0227539999999999</v>
      </c>
      <c r="D9" s="22">
        <f>F9*G8</f>
        <v>1.0658203125000001</v>
      </c>
      <c r="E9" s="1"/>
      <c r="F9" s="18">
        <f>30*B9*B9</f>
        <v>750000000</v>
      </c>
      <c r="G9" s="1"/>
    </row>
    <row r="10" spans="1:7" ht="14.45" x14ac:dyDescent="0.3">
      <c r="A10" s="21">
        <f t="shared" si="0"/>
        <v>8</v>
      </c>
      <c r="B10" s="20">
        <f t="shared" si="2"/>
        <v>6000</v>
      </c>
      <c r="C10" s="3">
        <v>1.4818</v>
      </c>
      <c r="D10" s="22">
        <f>F10*G8</f>
        <v>1.53478125</v>
      </c>
      <c r="F10" s="18">
        <f t="shared" ref="F10:F14" si="3">30*B10*B10</f>
        <v>1080000000</v>
      </c>
    </row>
    <row r="11" spans="1:7" ht="14.45" x14ac:dyDescent="0.3">
      <c r="A11" s="21">
        <f t="shared" si="0"/>
        <v>9</v>
      </c>
      <c r="B11" s="20">
        <f t="shared" si="2"/>
        <v>7000</v>
      </c>
      <c r="C11" s="3">
        <v>2.0291929999999998</v>
      </c>
      <c r="D11" s="22">
        <f>F11*G8</f>
        <v>2.0890078125000002</v>
      </c>
      <c r="F11" s="18">
        <f t="shared" si="3"/>
        <v>1470000000</v>
      </c>
    </row>
    <row r="12" spans="1:7" ht="14.45" x14ac:dyDescent="0.3">
      <c r="A12" s="21">
        <f t="shared" si="0"/>
        <v>10</v>
      </c>
      <c r="B12" s="20">
        <f t="shared" si="2"/>
        <v>8000</v>
      </c>
      <c r="C12" s="3">
        <v>2.5873560000000002</v>
      </c>
      <c r="D12" s="22">
        <f>F12*G8</f>
        <v>2.7284999999999999</v>
      </c>
      <c r="F12" s="18">
        <f t="shared" si="3"/>
        <v>1920000000</v>
      </c>
    </row>
    <row r="13" spans="1:7" ht="14.45" x14ac:dyDescent="0.3">
      <c r="A13" s="21">
        <f t="shared" si="0"/>
        <v>11</v>
      </c>
      <c r="B13" s="20">
        <f t="shared" si="2"/>
        <v>9000</v>
      </c>
      <c r="C13" s="3">
        <v>3.4246880000000002</v>
      </c>
      <c r="D13" s="22">
        <f>F13*G8</f>
        <v>3.4532578125</v>
      </c>
      <c r="F13" s="18">
        <f t="shared" si="3"/>
        <v>2430000000</v>
      </c>
    </row>
    <row r="14" spans="1:7" thickBot="1" x14ac:dyDescent="0.35">
      <c r="A14" s="23">
        <f t="shared" si="0"/>
        <v>12</v>
      </c>
      <c r="B14" s="24">
        <f t="shared" si="2"/>
        <v>10000</v>
      </c>
      <c r="C14" s="8">
        <v>4.0239649999999996</v>
      </c>
      <c r="D14" s="25">
        <f>F14*G8</f>
        <v>4.2632812500000004</v>
      </c>
      <c r="F14" s="26">
        <f t="shared" si="3"/>
        <v>3000000000</v>
      </c>
    </row>
    <row r="20" spans="5:7" ht="14.45" x14ac:dyDescent="0.3">
      <c r="E20" s="1"/>
      <c r="G20" s="1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topLeftCell="C1" zoomScale="85" zoomScaleNormal="85" workbookViewId="0">
      <selection activeCell="K19" sqref="K19"/>
    </sheetView>
  </sheetViews>
  <sheetFormatPr defaultRowHeight="15" x14ac:dyDescent="0.25"/>
  <cols>
    <col min="1" max="1" width="12.85546875" customWidth="1"/>
    <col min="2" max="2" width="14.28515625" customWidth="1"/>
    <col min="3" max="3" width="22" customWidth="1"/>
  </cols>
  <sheetData>
    <row r="1" spans="1:12" x14ac:dyDescent="0.25">
      <c r="A1" s="46" t="s">
        <v>7</v>
      </c>
      <c r="B1" s="48" t="s">
        <v>16</v>
      </c>
      <c r="C1" s="52" t="s">
        <v>14</v>
      </c>
      <c r="D1" s="44" t="s">
        <v>15</v>
      </c>
      <c r="E1" s="45"/>
      <c r="F1" s="45"/>
      <c r="G1" s="45"/>
      <c r="H1" s="45"/>
      <c r="I1" s="45"/>
      <c r="J1" s="45"/>
      <c r="K1" s="45"/>
      <c r="L1" s="37" t="s">
        <v>17</v>
      </c>
    </row>
    <row r="2" spans="1:12" ht="15.75" thickBot="1" x14ac:dyDescent="0.3">
      <c r="A2" s="47"/>
      <c r="B2" s="49"/>
      <c r="C2" s="53"/>
      <c r="D2" s="50" t="s">
        <v>8</v>
      </c>
      <c r="E2" s="50"/>
      <c r="F2" s="51" t="s">
        <v>9</v>
      </c>
      <c r="G2" s="51"/>
      <c r="H2" s="50" t="s">
        <v>4</v>
      </c>
      <c r="I2" s="50"/>
      <c r="J2" s="42" t="s">
        <v>10</v>
      </c>
      <c r="K2" s="43"/>
      <c r="L2" s="38">
        <v>10</v>
      </c>
    </row>
    <row r="3" spans="1:12" x14ac:dyDescent="0.25">
      <c r="A3" s="47"/>
      <c r="B3" s="49"/>
      <c r="C3" s="54"/>
      <c r="D3" s="27" t="s">
        <v>5</v>
      </c>
      <c r="E3" s="4" t="s">
        <v>6</v>
      </c>
      <c r="F3" s="27" t="s">
        <v>5</v>
      </c>
      <c r="G3" s="4" t="s">
        <v>6</v>
      </c>
      <c r="H3" s="27" t="s">
        <v>5</v>
      </c>
      <c r="I3" s="4" t="s">
        <v>6</v>
      </c>
      <c r="J3" s="12" t="s">
        <v>5</v>
      </c>
      <c r="K3" s="6" t="s">
        <v>6</v>
      </c>
    </row>
    <row r="4" spans="1:12" ht="14.45" x14ac:dyDescent="0.3">
      <c r="A4" s="2">
        <v>1</v>
      </c>
      <c r="B4" s="31">
        <v>10</v>
      </c>
      <c r="C4" s="3">
        <v>6.9999999999999999E-6</v>
      </c>
      <c r="D4" s="31">
        <v>7.9999999999999996E-6</v>
      </c>
      <c r="E4" s="30">
        <f t="shared" ref="E4:E15" si="0">C4/D4</f>
        <v>0.875</v>
      </c>
      <c r="F4" s="31">
        <v>2.2900000000000001E-4</v>
      </c>
      <c r="G4" s="30">
        <f t="shared" ref="G4:G15" si="1">C4/F4</f>
        <v>3.0567685589519649E-2</v>
      </c>
      <c r="H4" s="31">
        <v>2.22E-4</v>
      </c>
      <c r="I4" s="30">
        <f t="shared" ref="I4:I15" si="2">C4/H4</f>
        <v>3.1531531531531529E-2</v>
      </c>
      <c r="J4" s="28">
        <v>2.0600000000000002E-3</v>
      </c>
      <c r="K4" s="11">
        <f t="shared" ref="K4:K15" si="3">C4/J4</f>
        <v>3.398058252427184E-3</v>
      </c>
    </row>
    <row r="5" spans="1:12" ht="14.45" x14ac:dyDescent="0.3">
      <c r="A5" s="2">
        <f>A4+1</f>
        <v>2</v>
      </c>
      <c r="B5" s="31">
        <v>100</v>
      </c>
      <c r="C5" s="3">
        <v>5.8600000000000004E-4</v>
      </c>
      <c r="D5" s="31">
        <v>4.8700000000000002E-4</v>
      </c>
      <c r="E5" s="30">
        <f t="shared" si="0"/>
        <v>1.2032854209445585</v>
      </c>
      <c r="F5" s="31">
        <v>6.5099999999999999E-4</v>
      </c>
      <c r="G5" s="30">
        <f t="shared" si="1"/>
        <v>0.90015360983102921</v>
      </c>
      <c r="H5" s="31">
        <v>4.55E-4</v>
      </c>
      <c r="I5" s="30">
        <f t="shared" si="2"/>
        <v>1.287912087912088</v>
      </c>
      <c r="J5" s="28">
        <v>1.248E-3</v>
      </c>
      <c r="K5" s="11">
        <f t="shared" si="3"/>
        <v>0.4695512820512821</v>
      </c>
    </row>
    <row r="6" spans="1:12" ht="14.45" x14ac:dyDescent="0.3">
      <c r="A6" s="2">
        <f t="shared" ref="A6:A15" si="4">A5+1</f>
        <v>3</v>
      </c>
      <c r="B6" s="31">
        <v>1000</v>
      </c>
      <c r="C6" s="3">
        <v>4.6107000000000002E-2</v>
      </c>
      <c r="D6" s="31">
        <v>5.3310000000000003E-2</v>
      </c>
      <c r="E6" s="30">
        <f t="shared" si="0"/>
        <v>0.8648846370287</v>
      </c>
      <c r="F6" s="31">
        <v>4.5557E-2</v>
      </c>
      <c r="G6" s="30">
        <f t="shared" si="1"/>
        <v>1.0120727879359923</v>
      </c>
      <c r="H6" s="31">
        <v>3.2992E-2</v>
      </c>
      <c r="I6" s="30">
        <f t="shared" si="2"/>
        <v>1.397520611057226</v>
      </c>
      <c r="J6" s="28">
        <v>6.4364000000000005E-2</v>
      </c>
      <c r="K6" s="11">
        <f t="shared" si="3"/>
        <v>0.71634764775340254</v>
      </c>
    </row>
    <row r="7" spans="1:12" ht="14.45" x14ac:dyDescent="0.3">
      <c r="A7" s="2">
        <f t="shared" si="4"/>
        <v>4</v>
      </c>
      <c r="B7" s="31">
        <f>B6+1000</f>
        <v>2000</v>
      </c>
      <c r="C7" s="3">
        <v>0.170486</v>
      </c>
      <c r="D7" s="31">
        <v>0.220304</v>
      </c>
      <c r="E7" s="30">
        <f t="shared" si="0"/>
        <v>0.77386702011765562</v>
      </c>
      <c r="F7" s="31">
        <v>0.158167</v>
      </c>
      <c r="G7" s="30">
        <f t="shared" si="1"/>
        <v>1.0778860318524091</v>
      </c>
      <c r="H7" s="31">
        <v>0.131936</v>
      </c>
      <c r="I7" s="30">
        <f t="shared" si="2"/>
        <v>1.2921871210283775</v>
      </c>
      <c r="J7" s="28">
        <v>0.17915400000000001</v>
      </c>
      <c r="K7" s="11">
        <f t="shared" si="3"/>
        <v>0.95161704455384744</v>
      </c>
    </row>
    <row r="8" spans="1:12" ht="14.45" x14ac:dyDescent="0.3">
      <c r="A8" s="2">
        <f t="shared" si="4"/>
        <v>5</v>
      </c>
      <c r="B8" s="31">
        <f t="shared" ref="B8:B15" si="5">B7+1000</f>
        <v>3000</v>
      </c>
      <c r="C8" s="3">
        <v>0.39456000000000002</v>
      </c>
      <c r="D8" s="31">
        <v>0.49807299999999999</v>
      </c>
      <c r="E8" s="30">
        <f t="shared" si="0"/>
        <v>0.79217303487641377</v>
      </c>
      <c r="F8" s="31">
        <v>0.35282400000000003</v>
      </c>
      <c r="G8" s="30">
        <f t="shared" si="1"/>
        <v>1.1182912727025371</v>
      </c>
      <c r="H8" s="31">
        <v>0.26653700000000002</v>
      </c>
      <c r="I8" s="30">
        <f t="shared" si="2"/>
        <v>1.480319805505427</v>
      </c>
      <c r="J8" s="28">
        <v>0.39539600000000003</v>
      </c>
      <c r="K8" s="11">
        <f t="shared" si="3"/>
        <v>0.99788566399255429</v>
      </c>
    </row>
    <row r="9" spans="1:12" ht="14.45" x14ac:dyDescent="0.3">
      <c r="A9" s="2">
        <f t="shared" si="4"/>
        <v>6</v>
      </c>
      <c r="B9" s="31">
        <f t="shared" si="5"/>
        <v>4000</v>
      </c>
      <c r="C9" s="3">
        <v>0.68212499999999998</v>
      </c>
      <c r="D9" s="31">
        <v>0.90996699999999997</v>
      </c>
      <c r="E9" s="30">
        <f t="shared" si="0"/>
        <v>0.74961509593205033</v>
      </c>
      <c r="F9" s="31">
        <v>0.627224</v>
      </c>
      <c r="G9" s="30">
        <f t="shared" si="1"/>
        <v>1.0875301327755316</v>
      </c>
      <c r="H9" s="31">
        <v>0.52079500000000001</v>
      </c>
      <c r="I9" s="30">
        <f t="shared" si="2"/>
        <v>1.3097763995430063</v>
      </c>
      <c r="J9" s="28">
        <v>0.81952000000000003</v>
      </c>
      <c r="K9" s="11">
        <f t="shared" si="3"/>
        <v>0.83234698360015613</v>
      </c>
    </row>
    <row r="10" spans="1:12" ht="14.45" x14ac:dyDescent="0.3">
      <c r="A10" s="2">
        <f t="shared" si="4"/>
        <v>7</v>
      </c>
      <c r="B10" s="31">
        <f t="shared" si="5"/>
        <v>5000</v>
      </c>
      <c r="C10" s="3">
        <v>1.0227539999999999</v>
      </c>
      <c r="D10" s="31">
        <v>1.202545</v>
      </c>
      <c r="E10" s="30">
        <f t="shared" si="0"/>
        <v>0.85049124980769952</v>
      </c>
      <c r="F10" s="31">
        <v>0.98481799999999997</v>
      </c>
      <c r="G10" s="30">
        <f t="shared" si="1"/>
        <v>1.0385208231368639</v>
      </c>
      <c r="H10" s="31">
        <v>0.71401499999999996</v>
      </c>
      <c r="I10" s="30">
        <f t="shared" si="2"/>
        <v>1.43239847902355</v>
      </c>
      <c r="J10" s="28">
        <v>0.99585400000000002</v>
      </c>
      <c r="K10" s="11">
        <f t="shared" si="3"/>
        <v>1.0270119917176614</v>
      </c>
    </row>
    <row r="11" spans="1:12" ht="14.45" x14ac:dyDescent="0.3">
      <c r="A11" s="2">
        <f t="shared" si="4"/>
        <v>8</v>
      </c>
      <c r="B11" s="31">
        <f t="shared" si="5"/>
        <v>6000</v>
      </c>
      <c r="C11" s="3">
        <v>1.4818</v>
      </c>
      <c r="D11" s="31">
        <v>1.899562</v>
      </c>
      <c r="E11" s="30">
        <f t="shared" si="0"/>
        <v>0.78007456455751378</v>
      </c>
      <c r="F11" s="31">
        <v>1.8793260000000001</v>
      </c>
      <c r="G11" s="30">
        <f t="shared" si="1"/>
        <v>0.78847416573814222</v>
      </c>
      <c r="H11" s="31">
        <v>1.01692</v>
      </c>
      <c r="I11" s="30">
        <f t="shared" si="2"/>
        <v>1.4571451048263382</v>
      </c>
      <c r="J11" s="28">
        <v>1.3356159999999999</v>
      </c>
      <c r="K11" s="11">
        <f t="shared" si="3"/>
        <v>1.1094506205376395</v>
      </c>
    </row>
    <row r="12" spans="1:12" ht="14.45" x14ac:dyDescent="0.3">
      <c r="A12" s="2">
        <f t="shared" si="4"/>
        <v>9</v>
      </c>
      <c r="B12" s="31">
        <f t="shared" si="5"/>
        <v>7000</v>
      </c>
      <c r="C12" s="3">
        <v>2.0291929999999998</v>
      </c>
      <c r="D12" s="31">
        <v>2.3989699999999998</v>
      </c>
      <c r="E12" s="30">
        <f t="shared" si="0"/>
        <v>0.84586009829218367</v>
      </c>
      <c r="F12" s="31">
        <v>2.3758949999999999</v>
      </c>
      <c r="G12" s="30">
        <f t="shared" si="1"/>
        <v>0.85407520113473023</v>
      </c>
      <c r="H12" s="31">
        <v>1.458129</v>
      </c>
      <c r="I12" s="30">
        <f t="shared" si="2"/>
        <v>1.3916416174426267</v>
      </c>
      <c r="J12" s="28">
        <v>2.1278239999999999</v>
      </c>
      <c r="K12" s="11">
        <f t="shared" si="3"/>
        <v>0.95364701215890024</v>
      </c>
    </row>
    <row r="13" spans="1:12" ht="14.45" x14ac:dyDescent="0.3">
      <c r="A13" s="2">
        <f t="shared" si="4"/>
        <v>10</v>
      </c>
      <c r="B13" s="31">
        <f t="shared" si="5"/>
        <v>8000</v>
      </c>
      <c r="C13" s="3">
        <v>2.5873560000000002</v>
      </c>
      <c r="D13" s="31">
        <v>3.0932780000000002</v>
      </c>
      <c r="E13" s="30">
        <f t="shared" si="0"/>
        <v>0.83644470364448331</v>
      </c>
      <c r="F13" s="31">
        <v>3.234524</v>
      </c>
      <c r="G13" s="30">
        <f t="shared" si="1"/>
        <v>0.79991862790320933</v>
      </c>
      <c r="H13" s="34">
        <v>1.812935</v>
      </c>
      <c r="I13" s="30">
        <f t="shared" si="2"/>
        <v>1.4271642392032811</v>
      </c>
      <c r="J13" s="28">
        <v>2.6273610000000001</v>
      </c>
      <c r="K13" s="11">
        <f t="shared" si="3"/>
        <v>0.98477369497377798</v>
      </c>
    </row>
    <row r="14" spans="1:12" ht="14.45" x14ac:dyDescent="0.3">
      <c r="A14" s="2">
        <f t="shared" si="4"/>
        <v>11</v>
      </c>
      <c r="B14" s="31">
        <f t="shared" si="5"/>
        <v>9000</v>
      </c>
      <c r="C14" s="3">
        <v>3.4246880000000002</v>
      </c>
      <c r="D14" s="31">
        <v>3.9279850000000001</v>
      </c>
      <c r="E14" s="30">
        <f t="shared" si="0"/>
        <v>0.87186890988636667</v>
      </c>
      <c r="F14" s="31">
        <v>3.7586460000000002</v>
      </c>
      <c r="G14" s="30">
        <f t="shared" si="1"/>
        <v>0.91114938730596073</v>
      </c>
      <c r="H14" s="31">
        <v>2.892347</v>
      </c>
      <c r="I14" s="30">
        <f t="shared" si="2"/>
        <v>1.1840515678098098</v>
      </c>
      <c r="J14" s="28">
        <v>4.3992069999999996</v>
      </c>
      <c r="K14" s="11">
        <f t="shared" si="3"/>
        <v>0.77847848487238736</v>
      </c>
    </row>
    <row r="15" spans="1:12" thickBot="1" x14ac:dyDescent="0.35">
      <c r="A15" s="32">
        <f t="shared" si="4"/>
        <v>12</v>
      </c>
      <c r="B15" s="7">
        <f t="shared" si="5"/>
        <v>10000</v>
      </c>
      <c r="C15" s="8">
        <v>4.0239649999999996</v>
      </c>
      <c r="D15" s="7">
        <v>4.788843</v>
      </c>
      <c r="E15" s="9">
        <f t="shared" si="0"/>
        <v>0.8402791655520967</v>
      </c>
      <c r="F15" s="7">
        <v>3.9476179999999998</v>
      </c>
      <c r="G15" s="9">
        <f t="shared" si="1"/>
        <v>1.0193400171951794</v>
      </c>
      <c r="H15" s="7">
        <v>2.878107</v>
      </c>
      <c r="I15" s="9">
        <f t="shared" si="2"/>
        <v>1.3981290480166302</v>
      </c>
      <c r="J15" s="13">
        <v>5.2658480000000001</v>
      </c>
      <c r="K15" s="10">
        <f t="shared" si="3"/>
        <v>0.76416277112442277</v>
      </c>
    </row>
  </sheetData>
  <mergeCells count="8">
    <mergeCell ref="J2:K2"/>
    <mergeCell ref="D1:K1"/>
    <mergeCell ref="A1:A3"/>
    <mergeCell ref="B1:B3"/>
    <mergeCell ref="D2:E2"/>
    <mergeCell ref="F2:G2"/>
    <mergeCell ref="H2:I2"/>
    <mergeCell ref="C1:C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2025-11-22T12:08:24Z</dcterms:modified>
</cp:coreProperties>
</file>